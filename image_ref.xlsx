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4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Documents\Research works\proposal_defense\tex\"/>
    </mc:Choice>
  </mc:AlternateContent>
  <xr:revisionPtr revIDLastSave="0" documentId="13_ncr:1_{4381566F-6270-457B-8C70-A77B0EDD74EA}" xr6:coauthVersionLast="36" xr6:coauthVersionMax="36" xr10:uidLastSave="{00000000-0000-0000-0000-000000000000}"/>
  <bookViews>
    <workbookView xWindow="0" yWindow="0" windowWidth="23040" windowHeight="8976" activeTab="1" xr2:uid="{5653FDFE-E13C-41A8-94A7-50F8AFED8242}"/>
  </bookViews>
  <sheets>
    <sheet name="Sheet1" sheetId="1" r:id="rId1"/>
    <sheet name="Sheet2" sheetId="2" r:id="rId2"/>
  </sheets>
  <definedNames>
    <definedName name="_xlnm._FilterDatabase" localSheetId="1" hidden="1">Sheet2!$A$1:$B$1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2" i="2" l="1"/>
  <c r="D3" i="2"/>
  <c r="E3" i="2"/>
  <c r="D4" i="2" s="1"/>
  <c r="D2" i="2"/>
  <c r="E2" i="2"/>
  <c r="B48" i="1"/>
  <c r="B47" i="1"/>
  <c r="B40" i="1"/>
  <c r="B25" i="1"/>
  <c r="B22" i="1"/>
  <c r="E4" i="2" l="1"/>
  <c r="D5" i="2" l="1"/>
  <c r="E5" i="2"/>
  <c r="D6" i="2" l="1"/>
  <c r="E6" i="2"/>
  <c r="E7" i="2" l="1"/>
  <c r="D7" i="2"/>
  <c r="D8" i="2" l="1"/>
  <c r="E8" i="2"/>
  <c r="E9" i="2" l="1"/>
  <c r="D9" i="2"/>
  <c r="D10" i="2" l="1"/>
  <c r="E10" i="2"/>
  <c r="D11" i="2" l="1"/>
  <c r="E11" i="2"/>
  <c r="D12" i="2" l="1"/>
  <c r="E12" i="2"/>
  <c r="D13" i="2" l="1"/>
  <c r="E13" i="2"/>
  <c r="D14" i="2" l="1"/>
  <c r="E14" i="2"/>
  <c r="E15" i="2" l="1"/>
  <c r="D15" i="2"/>
  <c r="D16" i="2" l="1"/>
  <c r="E16" i="2"/>
  <c r="E17" i="2" l="1"/>
  <c r="D17" i="2"/>
  <c r="D18" i="2" l="1"/>
  <c r="E18" i="2"/>
  <c r="D19" i="2" l="1"/>
  <c r="E19" i="2"/>
  <c r="D20" i="2" l="1"/>
  <c r="E20" i="2"/>
  <c r="E21" i="2" l="1"/>
  <c r="D21" i="2"/>
</calcChain>
</file>

<file path=xl/sharedStrings.xml><?xml version="1.0" encoding="utf-8"?>
<sst xmlns="http://schemas.openxmlformats.org/spreadsheetml/2006/main" count="85" uniqueCount="57">
  <si>
    <t>Faculty of Basic Medical Science-Libyan International Medical University</t>
  </si>
  <si>
    <t>Img#</t>
    <phoneticPr fontId="1" type="noConversion"/>
  </si>
  <si>
    <t>url</t>
    <phoneticPr fontId="1" type="noConversion"/>
  </si>
  <si>
    <t>https://www.photomed.net/polar_eyes.htm</t>
  </si>
  <si>
    <t>https://en.wikipedia.org/wiki/Human_tooth#/media/File:06-10-06smile.jpg</t>
  </si>
  <si>
    <t>https://www.biomintoothpaste.com.au/biomin-learning-articles-centre/white-spot-repair/</t>
  </si>
  <si>
    <t>https://www.angelorthodontics.co.uk/close-gap-between-front-teeth/</t>
  </si>
  <si>
    <t>https://www.listerine.com.au/cavities-strong-teeth/do-you-have-enamel-erosion</t>
  </si>
  <si>
    <t>@article{martos2012aesthetic,
  title={Aesthetic approach for anterior teeth with enamel hypoplasia},
  author={Martos, Josue and Gewehr, Andrea and Paim, Emanuele},
  journal={Contemporary clinical dentistry},
  volume={3},
  number={Suppl1},
  pages={S82},
  year={2012},
  publisher={Wolters Kluwer--Medknow Publications}
}</t>
    <phoneticPr fontId="1" type="noConversion"/>
  </si>
  <si>
    <t>@article{T056_10,
  title={Management of white spots: resin infiltration technique and microabrasion},
  author={Jeong Hye Son and Bock Hur and HyeonCheol Kim and JeongKil Park},
  journal={The Journal of Korean Academy of Conservative Dentistry},
  year={2011},
  volume={36},
  pages={66-71}
}</t>
    <phoneticPr fontId="1" type="noConversion"/>
  </si>
  <si>
    <t>http://www.drengdds.com/Wedgwood_Dental_Clinic/Procedures.html</t>
    <phoneticPr fontId="1" type="noConversion"/>
  </si>
  <si>
    <t>deleted</t>
    <phoneticPr fontId="1" type="noConversion"/>
  </si>
  <si>
    <t>https://en.wikipedia.org/wiki/Dental_fluorosis#/media/File:Dental_fluorosis_(mild).png</t>
    <phoneticPr fontId="1" type="noConversion"/>
  </si>
  <si>
    <t>https://www.kcdcmontville.com/gallery.html</t>
    <phoneticPr fontId="1" type="noConversion"/>
  </si>
  <si>
    <t>https://www.vandykcastro.com/smile</t>
    <phoneticPr fontId="1" type="noConversion"/>
  </si>
  <si>
    <t>http://www.napelonidental.com/wp-content/uploads/2011/08/IMG_1984-1024x682.jpg</t>
    <phoneticPr fontId="1" type="noConversion"/>
  </si>
  <si>
    <t>https://www.dentistryformadison.com/8-health-problems-caused-by-crooked-teeth/</t>
    <phoneticPr fontId="1" type="noConversion"/>
  </si>
  <si>
    <t>https://www.quora.com/What-is-it-specifically-about-Julia-Robertss-smile-that-makes-it-so-noteworthy</t>
    <phoneticPr fontId="1" type="noConversion"/>
  </si>
  <si>
    <t>https://images.app.goo.gl/aDRPU7bDexVmt42p6</t>
    <phoneticPr fontId="1" type="noConversion"/>
  </si>
  <si>
    <t>https://www.medicinenet.com/top_problems_in_your_mouth_pictures_slideshow/article.htm</t>
    <phoneticPr fontId="1" type="noConversion"/>
  </si>
  <si>
    <t>https://studiodentale.com.br/raiz-dente-exposta/</t>
    <phoneticPr fontId="1" type="noConversion"/>
  </si>
  <si>
    <t>http://www.bausfamilydental.com/gallery.php</t>
    <phoneticPr fontId="1" type="noConversion"/>
  </si>
  <si>
    <t>https://images.app.goo.gl/BjDv5HDpC3G32hBB7</t>
    <phoneticPr fontId="1" type="noConversion"/>
  </si>
  <si>
    <t>https://www.shuaybdental.com/smile-gallery</t>
    <phoneticPr fontId="1" type="noConversion"/>
  </si>
  <si>
    <t>https://filtropolaris.com/</t>
    <phoneticPr fontId="1" type="noConversion"/>
  </si>
  <si>
    <t>https://healthjade.net/fluorosis/</t>
    <phoneticPr fontId="1" type="noConversion"/>
  </si>
  <si>
    <t>https://www.sunshinesmilesoc.com/blog/get-rid-white-spots-front-teeth-pain-free/13541</t>
    <phoneticPr fontId="1" type="noConversion"/>
  </si>
  <si>
    <t>https://www.speareducation.com/spear-review/2017/07/a-conservative-effective-approach-to-white-spot-lesions</t>
    <phoneticPr fontId="1" type="noConversion"/>
  </si>
  <si>
    <t>https://cross-polar.com/about/</t>
    <phoneticPr fontId="1" type="noConversion"/>
  </si>
  <si>
    <t>https://sterlingdentaldds.com/what-are-those-dark-spots-between-your-teeth</t>
    <phoneticPr fontId="1" type="noConversion"/>
  </si>
  <si>
    <t>https://qds.ie/resin-infiltration/</t>
    <phoneticPr fontId="1" type="noConversion"/>
  </si>
  <si>
    <t>https://www.99healthideas.com/9-harmful-side-effects-of-antibiotics-and-ways-to-minimize-them/</t>
    <phoneticPr fontId="1" type="noConversion"/>
  </si>
  <si>
    <t>ref#</t>
    <phoneticPr fontId="1" type="noConversion"/>
  </si>
  <si>
    <t>TT014,TT056_10,TT006,TT007_25_28_50,TT015_9,TT017,TT020_43,TT023,TT026,TT027,TT029,TT031,TT035,TT037_51,TT039,TT045,TT046,TT048,TT049,TT052,TT054</t>
  </si>
  <si>
    <t>TT014</t>
  </si>
  <si>
    <t>TT056_10</t>
  </si>
  <si>
    <t>TT006</t>
  </si>
  <si>
    <t>TT007_25_28_50</t>
  </si>
  <si>
    <t>TT015_9</t>
  </si>
  <si>
    <t>TT017</t>
  </si>
  <si>
    <t>TT020_43</t>
  </si>
  <si>
    <t>TT023</t>
  </si>
  <si>
    <t>TT026</t>
  </si>
  <si>
    <t>TT027</t>
  </si>
  <si>
    <t>TT029</t>
  </si>
  <si>
    <t>TT031</t>
  </si>
  <si>
    <t>TT035</t>
  </si>
  <si>
    <t>TT037_51</t>
  </si>
  <si>
    <t>TT039</t>
  </si>
  <si>
    <t>TT045</t>
  </si>
  <si>
    <t>TT046</t>
  </si>
  <si>
    <t>TT048</t>
  </si>
  <si>
    <t>TT049</t>
  </si>
  <si>
    <t>TT052</t>
  </si>
  <si>
    <t>TT054</t>
  </si>
  <si>
    <t>,</t>
    <phoneticPr fontId="1" type="noConversion"/>
  </si>
  <si>
    <t>TT054,TT048,TT020_43,TT039,TT015_9,TT014,TT006,TT029,TT023,TT037_51,TT026,TT052,TT035,TT056_10,TT027,TT046,TT049,TT031,TT045,TT017,TT007_25_28_50,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</si>
</sst>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0" formatCode="000_ "/>
  </numFmts>
  <fonts count="4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180" fontId="0" fillId="0" borderId="0" xfId="0" applyNumberFormat="1">
      <alignment vertical="center"/>
    </xf>
    <xf numFmtId="180" fontId="0" fillId="0" borderId="1" xfId="0" applyNumberFormat="1" applyBorder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0" xfId="0" quotePrefix="1" applyFont="1" applyAlignment="1">
      <alignment horizontal="left" vertical="center"/>
    </xf>
    <xf numFmtId="0" fontId="3" fillId="0" borderId="0" xfId="1" applyAlignment="1">
      <alignment horizontal="left" vertical="center"/>
    </xf>
    <xf numFmtId="0" fontId="2" fillId="0" borderId="0" xfId="0" quotePrefix="1" applyFont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0" xfId="0" applyFill="1">
      <alignment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images.app.goo.gl/aDRPU7bDexVmt42p6" TargetMode="External"/><Relationship Id="rId13" Type="http://schemas.openxmlformats.org/officeDocument/2006/relationships/hyperlink" Target="https://images.app.goo.gl/CF3iGbzRGQUuZCE87" TargetMode="External"/><Relationship Id="rId18" Type="http://schemas.openxmlformats.org/officeDocument/2006/relationships/hyperlink" Target="https://cross-polar.com/about/" TargetMode="External"/><Relationship Id="rId3" Type="http://schemas.openxmlformats.org/officeDocument/2006/relationships/hyperlink" Target="https://www.kcdcmontville.com/gallery.html" TargetMode="External"/><Relationship Id="rId21" Type="http://schemas.openxmlformats.org/officeDocument/2006/relationships/hyperlink" Target="https://www.99healthideas.com/9-harmful-side-effects-of-antibiotics-and-ways-to-minimize-them/" TargetMode="External"/><Relationship Id="rId7" Type="http://schemas.openxmlformats.org/officeDocument/2006/relationships/hyperlink" Target="https://www.quora.com/What-is-it-specifically-about-Julia-Robertss-smile-that-makes-it-so-noteworthy" TargetMode="External"/><Relationship Id="rId12" Type="http://schemas.openxmlformats.org/officeDocument/2006/relationships/hyperlink" Target="https://www.shuaybdental.com/smile-gallery" TargetMode="External"/><Relationship Id="rId17" Type="http://schemas.openxmlformats.org/officeDocument/2006/relationships/hyperlink" Target="https://www.speareducation.com/spear-review/2017/07/a-conservative-effective-approach-to-white-spot-lesions" TargetMode="External"/><Relationship Id="rId2" Type="http://schemas.openxmlformats.org/officeDocument/2006/relationships/hyperlink" Target="https://en.wikipedia.org/wiki/Dental_fluorosis" TargetMode="External"/><Relationship Id="rId16" Type="http://schemas.openxmlformats.org/officeDocument/2006/relationships/hyperlink" Target="https://www.sunshinesmilesoc.com/blog/get-rid-white-spots-front-teeth-pain-free/13541" TargetMode="External"/><Relationship Id="rId20" Type="http://schemas.openxmlformats.org/officeDocument/2006/relationships/hyperlink" Target="https://qds.ie/resin-infiltration/" TargetMode="External"/><Relationship Id="rId1" Type="http://schemas.openxmlformats.org/officeDocument/2006/relationships/hyperlink" Target="http://www.drengdds.com/Wedgwood_Dental_Clinic/Procedures.html" TargetMode="External"/><Relationship Id="rId6" Type="http://schemas.openxmlformats.org/officeDocument/2006/relationships/hyperlink" Target="http://www.napelonidental.com/wp-content/uploads/2011/08/IMG_1984-1024x682.jpg" TargetMode="External"/><Relationship Id="rId11" Type="http://schemas.openxmlformats.org/officeDocument/2006/relationships/hyperlink" Target="https://images.app.goo.gl/BjDv5HDpC3G32hBB7" TargetMode="External"/><Relationship Id="rId5" Type="http://schemas.openxmlformats.org/officeDocument/2006/relationships/hyperlink" Target="https://www.dentistryformadison.com/8-health-problems-caused-by-crooked-teeth/" TargetMode="External"/><Relationship Id="rId15" Type="http://schemas.openxmlformats.org/officeDocument/2006/relationships/hyperlink" Target="https://healthjade.net/fluorosis/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studiodentale.com.br/raiz-dente-exposta/" TargetMode="External"/><Relationship Id="rId19" Type="http://schemas.openxmlformats.org/officeDocument/2006/relationships/hyperlink" Target="https://sterlingdentaldds.com/what-are-those-dark-spots-between-your-teeth" TargetMode="External"/><Relationship Id="rId4" Type="http://schemas.openxmlformats.org/officeDocument/2006/relationships/hyperlink" Target="https://www.vandykcastro.com/smile" TargetMode="External"/><Relationship Id="rId9" Type="http://schemas.openxmlformats.org/officeDocument/2006/relationships/hyperlink" Target="https://www.medicinenet.com/top_problems_in_your_mouth_pictures_slideshow/article.htm" TargetMode="External"/><Relationship Id="rId14" Type="http://schemas.openxmlformats.org/officeDocument/2006/relationships/hyperlink" Target="https://filtropolaris.com/" TargetMode="External"/><Relationship Id="rId22" Type="http://schemas.openxmlformats.org/officeDocument/2006/relationships/hyperlink" Target="http://www.bausfamilydental.com/gallery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49821-267B-440F-837D-6D845C0876A2}">
  <dimension ref="A1:C53"/>
  <sheetViews>
    <sheetView topLeftCell="A40" zoomScaleNormal="100" workbookViewId="0">
      <selection activeCell="F47" sqref="F47"/>
    </sheetView>
  </sheetViews>
  <sheetFormatPr defaultRowHeight="17.399999999999999"/>
  <cols>
    <col min="2" max="2" width="84.19921875" style="6" customWidth="1"/>
  </cols>
  <sheetData>
    <row r="1" spans="1:3">
      <c r="A1" s="2" t="s">
        <v>1</v>
      </c>
      <c r="B1" s="5" t="s">
        <v>2</v>
      </c>
    </row>
    <row r="2" spans="1:3">
      <c r="A2" s="3">
        <v>1000</v>
      </c>
      <c r="B2" s="6" t="s">
        <v>0</v>
      </c>
    </row>
    <row r="3" spans="1:3">
      <c r="A3" s="3">
        <v>1001</v>
      </c>
      <c r="B3" s="6" t="s">
        <v>3</v>
      </c>
    </row>
    <row r="4" spans="1:3">
      <c r="A4" s="3">
        <v>1005</v>
      </c>
      <c r="B4" s="6" t="s">
        <v>4</v>
      </c>
    </row>
    <row r="5" spans="1:3">
      <c r="A5" s="3">
        <v>1008</v>
      </c>
      <c r="B5" s="6" t="s">
        <v>5</v>
      </c>
    </row>
    <row r="6" spans="1:3">
      <c r="A6" s="3">
        <v>1013</v>
      </c>
      <c r="B6" s="6" t="s">
        <v>6</v>
      </c>
    </row>
    <row r="7" spans="1:3" s="1" customFormat="1" ht="18" thickBot="1">
      <c r="A7" s="4">
        <v>1018</v>
      </c>
      <c r="B7" s="7" t="s">
        <v>7</v>
      </c>
    </row>
    <row r="8" spans="1:3" ht="18" thickTop="1">
      <c r="A8" s="3">
        <v>6</v>
      </c>
      <c r="B8" s="9" t="s">
        <v>12</v>
      </c>
      <c r="C8">
        <v>1</v>
      </c>
    </row>
    <row r="9" spans="1:3">
      <c r="A9" s="3">
        <v>7</v>
      </c>
      <c r="B9" s="9" t="s">
        <v>10</v>
      </c>
      <c r="C9">
        <v>1</v>
      </c>
    </row>
    <row r="10" spans="1:3">
      <c r="A10" s="3">
        <v>13</v>
      </c>
      <c r="B10" s="11" t="s">
        <v>11</v>
      </c>
      <c r="C10">
        <v>1</v>
      </c>
    </row>
    <row r="11" spans="1:3" ht="174">
      <c r="A11" s="3">
        <v>14</v>
      </c>
      <c r="B11" s="10" t="s">
        <v>8</v>
      </c>
      <c r="C11">
        <v>1</v>
      </c>
    </row>
    <row r="12" spans="1:3">
      <c r="A12" s="3">
        <v>15</v>
      </c>
      <c r="B12" s="9" t="s">
        <v>13</v>
      </c>
      <c r="C12">
        <v>1</v>
      </c>
    </row>
    <row r="13" spans="1:3">
      <c r="A13" s="3">
        <v>16</v>
      </c>
    </row>
    <row r="14" spans="1:3">
      <c r="A14" s="3">
        <v>17</v>
      </c>
      <c r="B14" s="9" t="s">
        <v>14</v>
      </c>
      <c r="C14">
        <v>1</v>
      </c>
    </row>
    <row r="15" spans="1:3">
      <c r="A15" s="3">
        <v>18</v>
      </c>
      <c r="B15" s="9"/>
    </row>
    <row r="16" spans="1:3">
      <c r="A16" s="3">
        <v>19</v>
      </c>
    </row>
    <row r="17" spans="1:3">
      <c r="A17" s="3">
        <v>20</v>
      </c>
      <c r="B17" s="9" t="s">
        <v>16</v>
      </c>
    </row>
    <row r="18" spans="1:3">
      <c r="A18" s="3">
        <v>21</v>
      </c>
      <c r="B18" s="8">
        <v>1</v>
      </c>
    </row>
    <row r="19" spans="1:3">
      <c r="A19" s="3">
        <v>22</v>
      </c>
      <c r="B19" s="12" t="s">
        <v>11</v>
      </c>
      <c r="C19">
        <v>1</v>
      </c>
    </row>
    <row r="20" spans="1:3">
      <c r="A20" s="3">
        <v>23</v>
      </c>
      <c r="B20" s="9" t="s">
        <v>15</v>
      </c>
      <c r="C20">
        <v>1</v>
      </c>
    </row>
    <row r="21" spans="1:3">
      <c r="A21" s="3">
        <v>24</v>
      </c>
    </row>
    <row r="22" spans="1:3">
      <c r="A22" s="3">
        <v>25</v>
      </c>
      <c r="B22" s="6">
        <f>7</f>
        <v>7</v>
      </c>
      <c r="C22">
        <v>1</v>
      </c>
    </row>
    <row r="23" spans="1:3">
      <c r="A23" s="3">
        <v>26</v>
      </c>
      <c r="B23" s="9" t="s">
        <v>17</v>
      </c>
      <c r="C23">
        <v>1</v>
      </c>
    </row>
    <row r="24" spans="1:3">
      <c r="A24" s="3">
        <v>27</v>
      </c>
      <c r="B24" s="9" t="s">
        <v>18</v>
      </c>
    </row>
    <row r="25" spans="1:3">
      <c r="A25" s="3">
        <v>28</v>
      </c>
      <c r="B25" s="6">
        <f>7</f>
        <v>7</v>
      </c>
      <c r="C25">
        <v>1</v>
      </c>
    </row>
    <row r="26" spans="1:3">
      <c r="A26" s="3">
        <v>29</v>
      </c>
      <c r="B26" s="9" t="s">
        <v>19</v>
      </c>
      <c r="C26">
        <v>1</v>
      </c>
    </row>
    <row r="27" spans="1:3">
      <c r="A27" s="3">
        <v>30</v>
      </c>
      <c r="B27" s="6" t="s">
        <v>11</v>
      </c>
    </row>
    <row r="28" spans="1:3">
      <c r="A28" s="3">
        <v>31</v>
      </c>
      <c r="B28" s="9" t="s">
        <v>20</v>
      </c>
      <c r="C28">
        <v>1</v>
      </c>
    </row>
    <row r="29" spans="1:3">
      <c r="A29" s="3">
        <v>32</v>
      </c>
      <c r="B29" s="9" t="s">
        <v>21</v>
      </c>
      <c r="C29">
        <v>0</v>
      </c>
    </row>
    <row r="30" spans="1:3">
      <c r="A30" s="3">
        <v>33</v>
      </c>
      <c r="B30" s="9" t="s">
        <v>22</v>
      </c>
      <c r="C30">
        <v>0</v>
      </c>
    </row>
    <row r="31" spans="1:3">
      <c r="A31" s="3">
        <v>34</v>
      </c>
    </row>
    <row r="32" spans="1:3">
      <c r="A32" s="3">
        <v>35</v>
      </c>
      <c r="B32" s="9" t="s">
        <v>23</v>
      </c>
      <c r="C32">
        <v>0</v>
      </c>
    </row>
    <row r="33" spans="1:3">
      <c r="A33" s="3">
        <v>36</v>
      </c>
      <c r="B33" s="9" t="s">
        <v>11</v>
      </c>
      <c r="C33">
        <v>0</v>
      </c>
    </row>
    <row r="34" spans="1:3">
      <c r="A34" s="3">
        <v>37</v>
      </c>
      <c r="B34" s="9" t="s">
        <v>24</v>
      </c>
      <c r="C34">
        <v>1</v>
      </c>
    </row>
    <row r="35" spans="1:3">
      <c r="A35" s="3">
        <v>38</v>
      </c>
      <c r="B35" s="6" t="s">
        <v>11</v>
      </c>
    </row>
    <row r="36" spans="1:3">
      <c r="A36" s="3">
        <v>39</v>
      </c>
      <c r="B36" s="9" t="s">
        <v>25</v>
      </c>
      <c r="C36">
        <v>1</v>
      </c>
    </row>
    <row r="37" spans="1:3">
      <c r="A37" s="3">
        <v>40</v>
      </c>
      <c r="B37" s="6" t="s">
        <v>11</v>
      </c>
    </row>
    <row r="38" spans="1:3">
      <c r="A38" s="3">
        <v>41</v>
      </c>
    </row>
    <row r="39" spans="1:3">
      <c r="A39" s="3">
        <v>42</v>
      </c>
    </row>
    <row r="40" spans="1:3">
      <c r="A40" s="3">
        <v>43</v>
      </c>
      <c r="B40" s="6">
        <f>20</f>
        <v>20</v>
      </c>
      <c r="C40">
        <v>1</v>
      </c>
    </row>
    <row r="41" spans="1:3">
      <c r="A41" s="3">
        <v>44</v>
      </c>
      <c r="B41" s="6" t="s">
        <v>11</v>
      </c>
    </row>
    <row r="42" spans="1:3">
      <c r="A42" s="3">
        <v>45</v>
      </c>
      <c r="B42" s="9" t="s">
        <v>26</v>
      </c>
      <c r="C42">
        <v>1</v>
      </c>
    </row>
    <row r="43" spans="1:3">
      <c r="A43" s="3">
        <v>46</v>
      </c>
      <c r="B43" s="9" t="s">
        <v>27</v>
      </c>
      <c r="C43">
        <v>1</v>
      </c>
    </row>
    <row r="44" spans="1:3">
      <c r="A44" s="3">
        <v>47</v>
      </c>
    </row>
    <row r="45" spans="1:3">
      <c r="A45" s="3">
        <v>48</v>
      </c>
      <c r="B45" s="9" t="s">
        <v>28</v>
      </c>
      <c r="C45">
        <v>1</v>
      </c>
    </row>
    <row r="46" spans="1:3">
      <c r="A46" s="3">
        <v>49</v>
      </c>
      <c r="B46" s="9" t="s">
        <v>29</v>
      </c>
      <c r="C46">
        <v>1</v>
      </c>
    </row>
    <row r="47" spans="1:3">
      <c r="A47" s="3">
        <v>50</v>
      </c>
      <c r="B47" s="6">
        <f>7</f>
        <v>7</v>
      </c>
      <c r="C47">
        <v>1</v>
      </c>
    </row>
    <row r="48" spans="1:3">
      <c r="A48" s="3">
        <v>51</v>
      </c>
      <c r="B48" s="6">
        <f>37</f>
        <v>37</v>
      </c>
      <c r="C48">
        <v>1</v>
      </c>
    </row>
    <row r="49" spans="1:3">
      <c r="A49" s="3">
        <v>52</v>
      </c>
      <c r="B49" s="9" t="s">
        <v>30</v>
      </c>
      <c r="C49">
        <v>1</v>
      </c>
    </row>
    <row r="50" spans="1:3">
      <c r="A50" s="3">
        <v>53</v>
      </c>
      <c r="B50" s="6" t="s">
        <v>11</v>
      </c>
    </row>
    <row r="51" spans="1:3">
      <c r="A51" s="3">
        <v>54</v>
      </c>
      <c r="B51" s="9" t="s">
        <v>31</v>
      </c>
      <c r="C51">
        <v>1</v>
      </c>
    </row>
    <row r="52" spans="1:3">
      <c r="A52" s="3">
        <v>55</v>
      </c>
      <c r="B52" s="10" t="s">
        <v>11</v>
      </c>
    </row>
    <row r="53" spans="1:3" ht="139.19999999999999">
      <c r="A53" s="3">
        <v>56</v>
      </c>
      <c r="B53" s="10" t="s">
        <v>9</v>
      </c>
      <c r="C53">
        <v>1</v>
      </c>
    </row>
  </sheetData>
  <phoneticPr fontId="1" type="noConversion"/>
  <hyperlinks>
    <hyperlink ref="B9" r:id="rId1" xr:uid="{F0306EB3-864B-4AB2-B20A-54AE29B0F957}"/>
    <hyperlink ref="B8" r:id="rId2" location="/media/File:Dental_fluorosis_(mild).png" xr:uid="{1B9EED3E-B98A-473F-B1C3-70B9CE0F7616}"/>
    <hyperlink ref="B12" r:id="rId3" xr:uid="{B65D9196-84C9-4AF9-90A8-A6E876D12458}"/>
    <hyperlink ref="B14" r:id="rId4" xr:uid="{32D98DC9-DF5C-4D80-BA29-0B058683F233}"/>
    <hyperlink ref="B17" r:id="rId5" xr:uid="{6A88E3E2-5F04-4470-8D21-916EAF3431DE}"/>
    <hyperlink ref="B20" r:id="rId6" xr:uid="{90B47CF0-A72C-4D93-9C94-E3063B0A429B}"/>
    <hyperlink ref="B23" r:id="rId7" xr:uid="{D62AFE82-33B3-4D51-B613-DF4B47590FB8}"/>
    <hyperlink ref="B24" r:id="rId8" xr:uid="{C65FA653-DF1F-4E16-8448-8F1CF9D228C7}"/>
    <hyperlink ref="B26" r:id="rId9" xr:uid="{3AD2BEAF-684A-4FF6-9A7A-01E57DD1A534}"/>
    <hyperlink ref="B28" r:id="rId10" xr:uid="{95AB0ADC-18F1-4569-9854-FA7D3736E042}"/>
    <hyperlink ref="B30" r:id="rId11" xr:uid="{E0B4FA18-19B4-4AFD-A69C-754C0AFD2E1A}"/>
    <hyperlink ref="B32" r:id="rId12" xr:uid="{CAB47018-4997-4D10-8CBD-41B677742819}"/>
    <hyperlink ref="B33" r:id="rId13" display="https://images.app.goo.gl/CF3iGbzRGQUuZCE87" xr:uid="{8A2D4AA4-DDF7-46D6-AA70-4D66D835E4CC}"/>
    <hyperlink ref="B34" r:id="rId14" xr:uid="{7913F33C-2CF9-494E-B725-8D6222FE67ED}"/>
    <hyperlink ref="B36" r:id="rId15" xr:uid="{E3CB6BEC-801B-4EE1-82FC-48E9482BFA41}"/>
    <hyperlink ref="B42" r:id="rId16" xr:uid="{8A6F19F7-4634-4D36-B1E8-260B1BB50FDF}"/>
    <hyperlink ref="B43" r:id="rId17" xr:uid="{179CDD51-F3CC-4F76-92B9-89C28A7859E2}"/>
    <hyperlink ref="B45" r:id="rId18" xr:uid="{A88BCC3E-2E9F-45A0-A0B7-24D9667E0945}"/>
    <hyperlink ref="B46" r:id="rId19" xr:uid="{6E54A286-EFEB-4926-B6D6-87B1FE83A6A7}"/>
    <hyperlink ref="B49" r:id="rId20" xr:uid="{B15F89FA-E790-466C-B8BE-59809F193304}"/>
    <hyperlink ref="B51" r:id="rId21" xr:uid="{53F7BB4B-5BC9-41F8-A512-A86D27C1B4DC}"/>
    <hyperlink ref="B29" r:id="rId22" xr:uid="{A28EF357-D276-4D56-8B1F-C9F043B0139C}"/>
  </hyperlinks>
  <pageMargins left="0.7" right="0.7" top="0.75" bottom="0.75" header="0.3" footer="0.3"/>
  <pageSetup paperSize="9" orientation="portrait" horizontalDpi="1200" verticalDpi="1200" r:id="rId2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FB6E1-34F6-41AD-A675-119496F966DF}">
  <dimension ref="A1:E23"/>
  <sheetViews>
    <sheetView tabSelected="1" topLeftCell="A7" workbookViewId="0">
      <selection activeCell="B23" sqref="B23"/>
    </sheetView>
  </sheetViews>
  <sheetFormatPr defaultRowHeight="17.399999999999999"/>
  <cols>
    <col min="2" max="2" width="13.3984375" customWidth="1"/>
    <col min="3" max="3" width="11.796875" customWidth="1"/>
  </cols>
  <sheetData>
    <row r="1" spans="1:5">
      <c r="A1" t="s">
        <v>32</v>
      </c>
      <c r="E1" t="s">
        <v>33</v>
      </c>
    </row>
    <row r="2" spans="1:5">
      <c r="A2">
        <v>1</v>
      </c>
      <c r="B2" t="s">
        <v>54</v>
      </c>
      <c r="C2" t="s">
        <v>55</v>
      </c>
      <c r="D2" t="str">
        <f>LEFT($E1,FIND(",",$E1)-1)</f>
        <v>TT014</v>
      </c>
      <c r="E2" t="str">
        <f>MID($E1,FIND(",",$E1)+1,10000)</f>
        <v>TT056_10,TT006,TT007_25_28_50,TT015_9,TT017,TT020_43,TT023,TT026,TT027,TT029,TT031,TT035,TT037_51,TT039,TT045,TT046,TT048,TT049,TT052,TT054</v>
      </c>
    </row>
    <row r="3" spans="1:5">
      <c r="A3">
        <v>6</v>
      </c>
      <c r="B3" t="s">
        <v>51</v>
      </c>
      <c r="C3" t="s">
        <v>55</v>
      </c>
      <c r="D3" t="str">
        <f t="shared" ref="D3:D21" si="0">LEFT($E2,FIND(",",$E2)-1)</f>
        <v>TT056_10</v>
      </c>
      <c r="E3" t="str">
        <f t="shared" ref="E3:E21" si="1">MID($E2,FIND(",",$E2)+1,10000)</f>
        <v>TT006,TT007_25_28_50,TT015_9,TT017,TT020_43,TT023,TT026,TT027,TT029,TT031,TT035,TT037_51,TT039,TT045,TT046,TT048,TT049,TT052,TT054</v>
      </c>
    </row>
    <row r="4" spans="1:5">
      <c r="A4">
        <v>7</v>
      </c>
      <c r="B4" t="s">
        <v>40</v>
      </c>
      <c r="C4" t="s">
        <v>55</v>
      </c>
      <c r="D4" t="str">
        <f t="shared" si="0"/>
        <v>TT006</v>
      </c>
      <c r="E4" t="str">
        <f t="shared" si="1"/>
        <v>TT007_25_28_50,TT015_9,TT017,TT020_43,TT023,TT026,TT027,TT029,TT031,TT035,TT037_51,TT039,TT045,TT046,TT048,TT049,TT052,TT054</v>
      </c>
    </row>
    <row r="5" spans="1:5">
      <c r="A5">
        <v>16</v>
      </c>
      <c r="B5" t="s">
        <v>48</v>
      </c>
      <c r="C5" t="s">
        <v>55</v>
      </c>
      <c r="D5" t="str">
        <f t="shared" si="0"/>
        <v>TT007_25_28_50</v>
      </c>
      <c r="E5" t="str">
        <f t="shared" si="1"/>
        <v>TT015_9,TT017,TT020_43,TT023,TT026,TT027,TT029,TT031,TT035,TT037_51,TT039,TT045,TT046,TT048,TT049,TT052,TT054</v>
      </c>
    </row>
    <row r="6" spans="1:5">
      <c r="A6">
        <v>20</v>
      </c>
      <c r="B6" t="s">
        <v>38</v>
      </c>
      <c r="C6" t="s">
        <v>55</v>
      </c>
      <c r="D6" t="str">
        <f t="shared" si="0"/>
        <v>TT015_9</v>
      </c>
      <c r="E6" t="str">
        <f t="shared" si="1"/>
        <v>TT017,TT020_43,TT023,TT026,TT027,TT029,TT031,TT035,TT037_51,TT039,TT045,TT046,TT048,TT049,TT052,TT054</v>
      </c>
    </row>
    <row r="7" spans="1:5">
      <c r="A7">
        <v>26</v>
      </c>
      <c r="B7" t="s">
        <v>34</v>
      </c>
      <c r="C7" t="s">
        <v>55</v>
      </c>
      <c r="D7" t="str">
        <f t="shared" si="0"/>
        <v>TT017</v>
      </c>
      <c r="E7" t="str">
        <f t="shared" si="1"/>
        <v>TT020_43,TT023,TT026,TT027,TT029,TT031,TT035,TT037_51,TT039,TT045,TT046,TT048,TT049,TT052,TT054</v>
      </c>
    </row>
    <row r="8" spans="1:5">
      <c r="A8">
        <v>27</v>
      </c>
      <c r="B8" t="s">
        <v>36</v>
      </c>
      <c r="C8" t="s">
        <v>55</v>
      </c>
      <c r="D8" t="str">
        <f t="shared" si="0"/>
        <v>TT020_43</v>
      </c>
      <c r="E8" t="str">
        <f t="shared" si="1"/>
        <v>TT023,TT026,TT027,TT029,TT031,TT035,TT037_51,TT039,TT045,TT046,TT048,TT049,TT052,TT054</v>
      </c>
    </row>
    <row r="9" spans="1:5">
      <c r="A9">
        <v>28</v>
      </c>
      <c r="B9" t="s">
        <v>44</v>
      </c>
      <c r="C9" t="s">
        <v>55</v>
      </c>
      <c r="D9" t="str">
        <f t="shared" si="0"/>
        <v>TT023</v>
      </c>
      <c r="E9" t="str">
        <f t="shared" si="1"/>
        <v>TT026,TT027,TT029,TT031,TT035,TT037_51,TT039,TT045,TT046,TT048,TT049,TT052,TT054</v>
      </c>
    </row>
    <row r="10" spans="1:5">
      <c r="A10">
        <v>30</v>
      </c>
      <c r="B10" t="s">
        <v>41</v>
      </c>
      <c r="C10" t="s">
        <v>55</v>
      </c>
      <c r="D10" t="str">
        <f t="shared" si="0"/>
        <v>TT026</v>
      </c>
      <c r="E10" t="str">
        <f t="shared" si="1"/>
        <v>TT027,TT029,TT031,TT035,TT037_51,TT039,TT045,TT046,TT048,TT049,TT052,TT054</v>
      </c>
    </row>
    <row r="11" spans="1:5">
      <c r="A11">
        <v>35</v>
      </c>
      <c r="B11" t="s">
        <v>47</v>
      </c>
      <c r="C11" t="s">
        <v>55</v>
      </c>
      <c r="D11" t="str">
        <f t="shared" si="0"/>
        <v>TT027</v>
      </c>
      <c r="E11" t="str">
        <f t="shared" si="1"/>
        <v>TT029,TT031,TT035,TT037_51,TT039,TT045,TT046,TT048,TT049,TT052,TT054</v>
      </c>
    </row>
    <row r="12" spans="1:5">
      <c r="A12">
        <v>36</v>
      </c>
      <c r="B12" t="s">
        <v>42</v>
      </c>
      <c r="C12" t="s">
        <v>55</v>
      </c>
      <c r="D12" t="str">
        <f t="shared" si="0"/>
        <v>TT029</v>
      </c>
      <c r="E12" t="str">
        <f t="shared" si="1"/>
        <v>TT031,TT035,TT037_51,TT039,TT045,TT046,TT048,TT049,TT052,TT054</v>
      </c>
    </row>
    <row r="13" spans="1:5">
      <c r="A13">
        <v>38</v>
      </c>
      <c r="B13" t="s">
        <v>53</v>
      </c>
      <c r="C13" t="s">
        <v>55</v>
      </c>
      <c r="D13" t="str">
        <f t="shared" si="0"/>
        <v>TT031</v>
      </c>
      <c r="E13" t="str">
        <f t="shared" si="1"/>
        <v>TT035,TT037_51,TT039,TT045,TT046,TT048,TT049,TT052,TT054</v>
      </c>
    </row>
    <row r="14" spans="1:5">
      <c r="A14">
        <v>43</v>
      </c>
      <c r="B14" t="s">
        <v>46</v>
      </c>
      <c r="C14" t="s">
        <v>55</v>
      </c>
      <c r="D14" t="str">
        <f t="shared" si="0"/>
        <v>TT035</v>
      </c>
      <c r="E14" t="str">
        <f t="shared" si="1"/>
        <v>TT037_51,TT039,TT045,TT046,TT048,TT049,TT052,TT054</v>
      </c>
    </row>
    <row r="15" spans="1:5">
      <c r="A15">
        <v>44</v>
      </c>
      <c r="B15" t="s">
        <v>35</v>
      </c>
      <c r="C15" t="s">
        <v>55</v>
      </c>
      <c r="D15" t="str">
        <f t="shared" si="0"/>
        <v>TT037_51</v>
      </c>
      <c r="E15" t="str">
        <f t="shared" si="1"/>
        <v>TT039,TT045,TT046,TT048,TT049,TT052,TT054</v>
      </c>
    </row>
    <row r="16" spans="1:5">
      <c r="A16">
        <v>45</v>
      </c>
      <c r="B16" t="s">
        <v>43</v>
      </c>
      <c r="C16" t="s">
        <v>55</v>
      </c>
      <c r="D16" t="str">
        <f t="shared" si="0"/>
        <v>TT039</v>
      </c>
      <c r="E16" t="str">
        <f t="shared" si="1"/>
        <v>TT045,TT046,TT048,TT049,TT052,TT054</v>
      </c>
    </row>
    <row r="17" spans="1:5">
      <c r="A17">
        <v>46</v>
      </c>
      <c r="B17" t="s">
        <v>50</v>
      </c>
      <c r="C17" t="s">
        <v>55</v>
      </c>
      <c r="D17" t="str">
        <f t="shared" si="0"/>
        <v>TT045</v>
      </c>
      <c r="E17" t="str">
        <f t="shared" si="1"/>
        <v>TT046,TT048,TT049,TT052,TT054</v>
      </c>
    </row>
    <row r="18" spans="1:5">
      <c r="A18">
        <v>47</v>
      </c>
      <c r="B18" t="s">
        <v>52</v>
      </c>
      <c r="C18" t="s">
        <v>55</v>
      </c>
      <c r="D18" t="str">
        <f t="shared" si="0"/>
        <v>TT046</v>
      </c>
      <c r="E18" t="str">
        <f t="shared" si="1"/>
        <v>TT048,TT049,TT052,TT054</v>
      </c>
    </row>
    <row r="19" spans="1:5">
      <c r="A19">
        <v>48</v>
      </c>
      <c r="B19" t="s">
        <v>45</v>
      </c>
      <c r="C19" t="s">
        <v>55</v>
      </c>
      <c r="D19" t="str">
        <f t="shared" si="0"/>
        <v>TT048</v>
      </c>
      <c r="E19" t="str">
        <f t="shared" si="1"/>
        <v>TT049,TT052,TT054</v>
      </c>
    </row>
    <row r="20" spans="1:5">
      <c r="A20">
        <v>49</v>
      </c>
      <c r="B20" t="s">
        <v>49</v>
      </c>
      <c r="C20" t="s">
        <v>55</v>
      </c>
      <c r="D20" t="str">
        <f t="shared" si="0"/>
        <v>TT049</v>
      </c>
      <c r="E20" t="str">
        <f t="shared" si="1"/>
        <v>TT052,TT054</v>
      </c>
    </row>
    <row r="21" spans="1:5">
      <c r="A21">
        <v>52</v>
      </c>
      <c r="B21" t="s">
        <v>39</v>
      </c>
      <c r="C21" t="s">
        <v>55</v>
      </c>
      <c r="D21" t="str">
        <f t="shared" si="0"/>
        <v>TT052</v>
      </c>
      <c r="E21" t="str">
        <f t="shared" si="1"/>
        <v>TT054</v>
      </c>
    </row>
    <row r="22" spans="1:5">
      <c r="A22">
        <v>55</v>
      </c>
      <c r="B22" t="s">
        <v>37</v>
      </c>
      <c r="C22" t="s">
        <v>55</v>
      </c>
      <c r="D22" t="str">
        <f>_xlfn.CONCAT(B2:C22)</f>
        <v>TT054,TT048,TT020_43,TT039,TT015_9,TT014,TT006,TT029,TT023,TT037_51,TT026,TT052,TT035,TT056_10,TT027,TT046,TT049,TT031,TT045,TT017,TT007_25_28_50,</v>
      </c>
    </row>
    <row r="23" spans="1:5">
      <c r="B23" t="s">
        <v>56</v>
      </c>
    </row>
  </sheetData>
  <autoFilter ref="A1:B1" xr:uid="{0080ECD6-A2CC-47D2-A015-7EBE7A2659B3}">
    <sortState ref="A2:B22">
      <sortCondition ref="A1"/>
    </sortState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Seongeun Kim</dc:creator>
  <cp:lastModifiedBy>Seongeun Kim</cp:lastModifiedBy>
  <dcterms:created xsi:type="dcterms:W3CDTF">2022-03-26T08:03:53Z</dcterms:created>
  <dcterms:modified xsi:type="dcterms:W3CDTF">2022-03-27T06:36:28Z</dcterms:modified>
</cp:coreProperties>
</file>